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DI facts" sheetId="1" state="visible" r:id="rId2"/>
    <sheet name="Review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<sst xmlns="http://schemas.openxmlformats.org/spreadsheetml/2006/main" count="25" uniqueCount="21">
  <si>
    <t xml:space="preserve">Mexico | authentic WDI observations</t>
  </si>
  <si>
    <t xml:space="preserve">Source: World Bank, World Development Indicators, API snapshot 2026-09-25, 2019–2024; CC BY 4.0. Derived calculations are EnvLoop's, not World Bank conclusions.</t>
  </si>
  <si>
    <t xml:space="preserve">Year</t>
  </si>
  <si>
    <t xml:space="preserve">GDP (current USD)</t>
  </si>
  <si>
    <t xml:space="preserve">GDP per capita (current USD)</t>
  </si>
  <si>
    <t xml:space="preserve">Consumer price inflation (%)</t>
  </si>
  <si>
    <t xml:space="preserve">Population</t>
  </si>
  <si>
    <t xml:space="preserve">Unemployment (%)</t>
  </si>
  <si>
    <t xml:space="preserve">Mexico | analyst review</t>
  </si>
  <si>
    <t xml:space="preserve">Repair every marked calculation using the WDI facts tab. Preserve all source values and other cells.</t>
  </si>
  <si>
    <t xml:space="preserve">Measure</t>
  </si>
  <si>
    <t xml:space="preserve">Working formula</t>
  </si>
  <si>
    <t xml:space="preserve">Unit</t>
  </si>
  <si>
    <t xml:space="preserve">Source years</t>
  </si>
  <si>
    <t xml:space="preserve">Nominal GDP growth, 2024 vs 2023</t>
  </si>
  <si>
    <t xml:space="preserve">%</t>
  </si>
  <si>
    <t xml:space="preserve">2023–2024</t>
  </si>
  <si>
    <t xml:space="preserve">GDP per-capita growth, 2024 vs 2023</t>
  </si>
  <si>
    <t xml:space="preserve">Population growth, 2024 vs 2023</t>
  </si>
  <si>
    <t xml:space="preserve">Check</t>
  </si>
  <si>
    <t xml:space="preserve">All source observations on the facts tab are genuine WDI values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</si>
</sst>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283B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8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5"/>
    <col collapsed="false" customWidth="true" hidden="false" outlineLevel="0" max="4" min="3" style="0" width="27"/>
    <col collapsed="false" customWidth="true" hidden="false" outlineLevel="0" max="5" min="5" style="0" width="25"/>
    <col collapsed="false" customWidth="true" hidden="false" outlineLevel="0" max="6" min="6" style="0" width="24"/>
    <col collapsed="false" customWidth="true" hidden="false" outlineLevel="0" max="7" min="7" style="0" width="31.0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</row>
    <row r="4" customFormat="false" ht="15" hidden="false" customHeight="false" outlineLevel="0" collapsed="false">
      <c r="A4" s="0" t="n">
        <v>2019</v>
      </c>
      <c r="B4" s="2" t="n">
        <v>1304106204006.27</v>
      </c>
      <c r="C4" s="2" t="n">
        <v>10369.5553593527</v>
      </c>
      <c r="D4" s="2" t="n">
        <v>3.63596142127046</v>
      </c>
      <c r="E4" s="2" t="n">
        <v>125762982</v>
      </c>
      <c r="F4" s="2" t="n">
        <v>3.477</v>
      </c>
    </row>
    <row r="5" customFormat="false" ht="15" hidden="false" customHeight="false" outlineLevel="0" collapsed="false">
      <c r="A5" s="0" t="n">
        <v>2020</v>
      </c>
      <c r="B5" s="2" t="n">
        <v>1121064767168.8</v>
      </c>
      <c r="C5" s="2" t="n">
        <v>8841.27074929751</v>
      </c>
      <c r="D5" s="2" t="n">
        <v>3.39683415570006</v>
      </c>
      <c r="E5" s="2" t="n">
        <v>126799054</v>
      </c>
      <c r="F5" s="2" t="n">
        <v>4.44</v>
      </c>
    </row>
    <row r="6" customFormat="false" ht="15" hidden="false" customHeight="false" outlineLevel="0" collapsed="false">
      <c r="A6" s="0" t="n">
        <v>2021</v>
      </c>
      <c r="B6" s="2" t="n">
        <v>1316569466833.94</v>
      </c>
      <c r="C6" s="2" t="n">
        <v>10314.0506733708</v>
      </c>
      <c r="D6" s="2" t="n">
        <v>5.68920847683753</v>
      </c>
      <c r="E6" s="2" t="n">
        <v>127648148</v>
      </c>
      <c r="F6" s="2" t="n">
        <v>4.019</v>
      </c>
    </row>
    <row r="7" customFormat="false" ht="15" hidden="false" customHeight="false" outlineLevel="0" collapsed="false">
      <c r="A7" s="0" t="n">
        <v>2022</v>
      </c>
      <c r="B7" s="2" t="n">
        <v>1466934724243.38</v>
      </c>
      <c r="C7" s="2" t="n">
        <v>11405.7940469896</v>
      </c>
      <c r="D7" s="2" t="n">
        <v>7.8962761916855</v>
      </c>
      <c r="E7" s="2" t="n">
        <v>128613117</v>
      </c>
      <c r="F7" s="2" t="n">
        <v>3.256</v>
      </c>
    </row>
    <row r="8" customFormat="false" ht="15" hidden="false" customHeight="false" outlineLevel="0" collapsed="false">
      <c r="A8" s="0" t="n">
        <v>2023</v>
      </c>
      <c r="B8" s="2" t="n">
        <v>1794410347718.25</v>
      </c>
      <c r="C8" s="2" t="n">
        <v>13830.843848864</v>
      </c>
      <c r="D8" s="2" t="n">
        <v>5.52796087314389</v>
      </c>
      <c r="E8" s="2" t="n">
        <v>129739759</v>
      </c>
      <c r="F8" s="2" t="n">
        <v>2.765</v>
      </c>
    </row>
    <row r="9" customFormat="false" ht="15" hidden="false" customHeight="false" outlineLevel="0" collapsed="false">
      <c r="A9" s="0" t="n">
        <v>2024</v>
      </c>
      <c r="B9" s="2" t="n">
        <v>1830489311088.89</v>
      </c>
      <c r="C9" s="2" t="n">
        <v>13988.0423745241</v>
      </c>
      <c r="D9" s="2" t="n">
        <v>4.72225588452932</v>
      </c>
      <c r="E9" s="2" t="n">
        <v>130861007</v>
      </c>
      <c r="F9" s="2" t="n">
        <v>2.678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5" activeCellId="0" sqref="B5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5"/>
    <col collapsed="false" customWidth="true" hidden="false" outlineLevel="0" max="4" min="3" style="0" width="27"/>
    <col collapsed="false" customWidth="true" hidden="false" outlineLevel="0" max="5" min="5" style="0" width="25"/>
    <col collapsed="false" customWidth="true" hidden="false" outlineLevel="0" max="6" min="6" style="0" width="24"/>
    <col collapsed="false" customWidth="true" hidden="false" outlineLevel="0" max="7" min="7" style="0" width="31.01"/>
  </cols>
  <sheetData>
    <row r="1" customFormat="false" ht="27.75" hidden="false" customHeight="true" outlineLevel="0" collapsed="false">
      <c r="A1" s="1" t="s">
        <v>8</v>
      </c>
      <c r="B1" s="1"/>
      <c r="C1" s="1"/>
      <c r="D1" s="1"/>
    </row>
    <row r="2" customFormat="false" ht="15" hidden="false" customHeight="false" outlineLevel="0" collapsed="false">
      <c r="A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</row>
    <row r="4" customFormat="false" ht="15" hidden="false" customHeight="false" outlineLevel="0" collapsed="false">
      <c r="A4" s="0" t="s">
        <v>14</v>
      </c>
      <c r="B4" s="3" t="n">
        <f aca="false">('WDI facts'!B9/'WDI facts'!B7-1)*100</f>
        <v>24.7832831848074</v>
      </c>
      <c r="C4" s="0" t="s">
        <v>15</v>
      </c>
      <c r="D4" s="0" t="s">
        <v>16</v>
      </c>
    </row>
    <row r="5" customFormat="false" ht="15" hidden="false" customHeight="false" outlineLevel="0" collapsed="false">
      <c r="A5" s="0" t="s">
        <v>17</v>
      </c>
      <c r="B5" s="3" t="n">
        <f aca="false">('WDI facts'!C9/'WDI facts'!C8-1)*100</f>
        <v>1.13657942622938</v>
      </c>
      <c r="C5" s="0" t="s">
        <v>15</v>
      </c>
      <c r="D5" s="0" t="s">
        <v>16</v>
      </c>
    </row>
    <row r="6" customFormat="false" ht="15" hidden="false" customHeight="false" outlineLevel="0" collapsed="false">
      <c r="A6" s="0" t="s">
        <v>18</v>
      </c>
      <c r="B6" s="3" t="n">
        <f aca="false">('WDI facts'!E9/'WDI facts'!E8-1)*100</f>
        <v>0.864228520726629</v>
      </c>
      <c r="C6" s="0" t="s">
        <v>15</v>
      </c>
      <c r="D6" s="0" t="s">
        <v>16</v>
      </c>
    </row>
    <row r="8" customFormat="false" ht="15" hidden="false" customHeight="false" outlineLevel="0" collapsed="false">
      <c r="A8" s="0" t="s">
        <v>19</v>
      </c>
      <c r="B8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2026-09-25T05:53:42Z</dcterms:created>
  <dc:creator>openpyxl</dc:creator>
  <dc:description/>
  <dc:language>en-US</dc:language>
  <cp:lastModifiedBy/>
  <dcterms:modified xsi:type="dcterms:W3CDTF">2026-09-25T06:04:38Z</dcterms:modified>
  <cp:revision>1</cp:revision>
  <dc:subject/>
  <dc:title>Mexico WDI analyst review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